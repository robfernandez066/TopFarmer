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Globals" sheetId="2" state="visible" r:id="rId4"/>
    <sheet name="Crops" sheetId="3" state="visible" r:id="rId5"/>
    <sheet name="Goods" sheetId="4" state="visible" r:id="rId6"/>
    <sheet name="Buildings" sheetId="5" state="visible" r:id="rId7"/>
    <sheet name="Progression" sheetId="6" state="visible" r:id="rId8"/>
    <sheet name="Orders" sheetId="7" state="visible" r:id="rId9"/>
    <sheet name="Currenc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<sst xmlns="http://schemas.openxmlformats.org/spreadsheetml/2006/main" count="296" uniqueCount="223">
  <si>
    <t xml:space="preserve">TopFarmer - Balance Sheet v0 (skeleton)</t>
  </si>
  <si>
    <t xml:space="preserve">Source of truth for every player-facing number. Game code must read exported CSVs, never hardcode values.</t>
  </si>
  <si>
    <t xml:space="preserve">HOW TO USE</t>
  </si>
  <si>
    <t xml:space="preserve">Blue text</t>
  </si>
  <si>
    <t xml:space="preserve">Hardcoded input. These are the cells you edit.</t>
  </si>
  <si>
    <t xml:space="preserve">Black text</t>
  </si>
  <si>
    <t xml:space="preserve">Formula. Do not edit - it will be overwritten by the next tuning pass.</t>
  </si>
  <si>
    <t xml:space="preserve">Green text</t>
  </si>
  <si>
    <t xml:space="preserve">Link to another tab.</t>
  </si>
  <si>
    <t xml:space="preserve">Yellow fill</t>
  </si>
  <si>
    <t xml:space="preserve">Key global lever. Changing these moves the whole economy.</t>
  </si>
  <si>
    <t xml:space="preserve">TABS</t>
  </si>
  <si>
    <t xml:space="preserve">Globals</t>
  </si>
  <si>
    <t xml:space="preserve">Economy-wide levers. Time multiplier, reward multiplier, price rules.</t>
  </si>
  <si>
    <t xml:space="preserve">Crops</t>
  </si>
  <si>
    <t xml:space="preserve">Every plantable crop. Derived gold/hr and xp/hr per plot = the difficulty curve.</t>
  </si>
  <si>
    <t xml:space="preserve">Goods</t>
  </si>
  <si>
    <t xml:space="preserve">Every produced ingredient and final good, with recipes and margins.</t>
  </si>
  <si>
    <t xml:space="preserve">Buildings</t>
  </si>
  <si>
    <t xml:space="preserve">Production buildings, costs, unlock levels, parallel slots.</t>
  </si>
  <si>
    <t xml:space="preserve">Progression</t>
  </si>
  <si>
    <t xml:space="preserve">Farm levels 1-10: XP curve, plots, storage, what unlocks.</t>
  </si>
  <si>
    <t xml:space="preserve">Orders</t>
  </si>
  <si>
    <t xml:space="preserve">Order rewards derived from the value of goods requested. Formula-driven, not hand-tuned.</t>
  </si>
  <si>
    <t xml:space="preserve">Currencies</t>
  </si>
  <si>
    <t xml:space="preserve">Gold and Starlight sources and sinks.</t>
  </si>
  <si>
    <t xml:space="preserve">SCOPE OF v0</t>
  </si>
  <si>
    <t xml:space="preserve">3 crops, 2 production buildings, 10 levels. Deliberately rough.</t>
  </si>
  <si>
    <t xml:space="preserve">Spec called for 1 building; 2 are included so the Sunwheat &gt; Flour &gt; Bread chain is representable.</t>
  </si>
  <si>
    <t xml:space="preserve">Numbers here are placeholders chosen to be plausible, NOT tuned. Tuning is a separate roadmap phase.</t>
  </si>
  <si>
    <t xml:space="preserve">EXPORT RULE</t>
  </si>
  <si>
    <t xml:space="preserve">Each tab exports to /data/&lt;tabname&gt;.csv. Both this .xlsx and the CSVs are committed.</t>
  </si>
  <si>
    <t xml:space="preserve">Coder Agent never edits /data/ directly - it requests changes via progress.md.</t>
  </si>
  <si>
    <t xml:space="preserve">WORKED EXAMPLE</t>
  </si>
  <si>
    <t xml:space="preserve">First pass priced Flour at 14g. Input cost (3 Sunwheat @ 6g) was 18g, so milling DESTROYED 4g of value.</t>
  </si>
  <si>
    <t xml:space="preserve">Raw selling beat crafting - a trap the player would find before you did. Flour is now 24g. Check every margin after any price edit.</t>
  </si>
  <si>
    <t xml:space="preserve">TIME MODEL</t>
  </si>
  <si>
    <t xml:space="preserve">All durations are real-world seconds. Growth and production continue while the app is closed.</t>
  </si>
  <si>
    <t xml:space="preserve">Global Economy Levers</t>
  </si>
  <si>
    <t xml:space="preserve">Every time gate and reward rate in the game scales off these. Required by requirement E5 (monetization-readiness).</t>
  </si>
  <si>
    <t xml:space="preserve">Key</t>
  </si>
  <si>
    <t xml:space="preserve">Value</t>
  </si>
  <si>
    <t xml:space="preserve">Unit</t>
  </si>
  <si>
    <t xml:space="preserve">Notes</t>
  </si>
  <si>
    <t xml:space="preserve">GROWTH_TIME_MULT</t>
  </si>
  <si>
    <t xml:space="preserve">multiplier</t>
  </si>
  <si>
    <t xml:space="preserve">Scales all crop growth durations. Lower = faster game. The primary pacing lever.</t>
  </si>
  <si>
    <t xml:space="preserve">PRODUCTION_TIME_MULT</t>
  </si>
  <si>
    <t xml:space="preserve">Scales all building production durations.</t>
  </si>
  <si>
    <t xml:space="preserve">SELL_PRICE_MULT</t>
  </si>
  <si>
    <t xml:space="preserve">Scales all sell prices. Use to inflate/deflate the economy without touching every row.</t>
  </si>
  <si>
    <t xml:space="preserve">XP_MULT</t>
  </si>
  <si>
    <t xml:space="preserve">Scales all XP awards.</t>
  </si>
  <si>
    <t xml:space="preserve">ORDER_GOLD_MULT</t>
  </si>
  <si>
    <t xml:space="preserve">Order gold reward = value of goods requested x this. Above 1.0 so orders beat raw selling.</t>
  </si>
  <si>
    <t xml:space="preserve">ORDER_XP_MULT</t>
  </si>
  <si>
    <t xml:space="preserve">Order XP = goods value x this.</t>
  </si>
  <si>
    <t xml:space="preserve">TRAIN_BONUS_MULT</t>
  </si>
  <si>
    <t xml:space="preserve">Large train/airship deliveries pay this instead of ORDER_GOLD_MULT.</t>
  </si>
  <si>
    <t xml:space="preserve">STARLIGHT_ORDER_CHANCE</t>
  </si>
  <si>
    <t xml:space="preserve">probability</t>
  </si>
  <si>
    <t xml:space="preserve">Chance a completed standard order also awards 1 Starlight.</t>
  </si>
  <si>
    <t xml:space="preserve">STARLIGHT_HARVEST_CHANCE</t>
  </si>
  <si>
    <t xml:space="preserve">Chance a harvest drops 1 Starlight.</t>
  </si>
  <si>
    <t xml:space="preserve">XP_CURVE_BASE</t>
  </si>
  <si>
    <t xml:space="preserve">xp</t>
  </si>
  <si>
    <t xml:space="preserve">XP required for level 2. Feeds the Progression curve.</t>
  </si>
  <si>
    <t xml:space="preserve">XP_CURVE_EXP</t>
  </si>
  <si>
    <t xml:space="preserve">exponent</t>
  </si>
  <si>
    <t xml:space="preserve">Level curve steepness. XP to reach level N = BASE x (N-1)^EXP.</t>
  </si>
  <si>
    <t xml:space="preserve">STARTING_GOLD</t>
  </si>
  <si>
    <t xml:space="preserve">gold</t>
  </si>
  <si>
    <t xml:space="preserve">New save gold.</t>
  </si>
  <si>
    <t xml:space="preserve">STARTING_PLOTS</t>
  </si>
  <si>
    <t xml:space="preserve">plots</t>
  </si>
  <si>
    <t xml:space="preserve">New save plot count.</t>
  </si>
  <si>
    <t xml:space="preserve">All values above are placeholders set by initial design, not derived from playtest data.</t>
  </si>
  <si>
    <t xml:space="preserve">Gold/hr and XP/hr per plot are the real outputs here. Later crops should trend upward on both, but not monotonically - give the player a reason to keep growing early crops.</t>
  </si>
  <si>
    <t xml:space="preserve">id</t>
  </si>
  <si>
    <t xml:space="preserve">name</t>
  </si>
  <si>
    <t xml:space="preserve">unlock_level</t>
  </si>
  <si>
    <t xml:space="preserve">seed_cost</t>
  </si>
  <si>
    <t xml:space="preserve">growth_sec_base</t>
  </si>
  <si>
    <t xml:space="preserve">growth_sec_eff</t>
  </si>
  <si>
    <t xml:space="preserve">yield_qty</t>
  </si>
  <si>
    <t xml:space="preserve">sell_price_base</t>
  </si>
  <si>
    <t xml:space="preserve">sell_price_eff</t>
  </si>
  <si>
    <t xml:space="preserve">xp_base</t>
  </si>
  <si>
    <t xml:space="preserve">xp_eff</t>
  </si>
  <si>
    <t xml:space="preserve">revenue_per_harvest</t>
  </si>
  <si>
    <t xml:space="preserve">profit_per_harvest</t>
  </si>
  <si>
    <t xml:space="preserve">gold_per_hour</t>
  </si>
  <si>
    <t xml:space="preserve">xp_per_hour</t>
  </si>
  <si>
    <t xml:space="preserve">sunwheat</t>
  </si>
  <si>
    <t xml:space="preserve">Sunwheat</t>
  </si>
  <si>
    <t xml:space="preserve">duskcorn</t>
  </si>
  <si>
    <t xml:space="preserve">Duskcorn</t>
  </si>
  <si>
    <t xml:space="preserve">ember_pepper</t>
  </si>
  <si>
    <t xml:space="preserve">Ember Pepper</t>
  </si>
  <si>
    <t xml:space="preserve">Placeholder values. sell_price_base is the design number; the game reads sell_price_eff.</t>
  </si>
  <si>
    <t xml:space="preserve">Rule of thumb to preserve when tuning: longer growth = higher gold/hr, so idle-friendly crops stay worth planting.</t>
  </si>
  <si>
    <t xml:space="preserve">Goods (ingredients and final goods)</t>
  </si>
  <si>
    <t xml:space="preserve">input_cost values inputs at their sell price - the opportunity cost of not selling them raw. margin below zero means the recipe destroys value.</t>
  </si>
  <si>
    <t xml:space="preserve">building_id</t>
  </si>
  <si>
    <t xml:space="preserve">input1_id</t>
  </si>
  <si>
    <t xml:space="preserve">input1_qty</t>
  </si>
  <si>
    <t xml:space="preserve">input2_id</t>
  </si>
  <si>
    <t xml:space="preserve">input2_qty</t>
  </si>
  <si>
    <t xml:space="preserve">prod_sec_base</t>
  </si>
  <si>
    <t xml:space="preserve">prod_sec_eff</t>
  </si>
  <si>
    <t xml:space="preserve">output_qty</t>
  </si>
  <si>
    <t xml:space="preserve">input_cost</t>
  </si>
  <si>
    <t xml:space="preserve">revenue</t>
  </si>
  <si>
    <t xml:space="preserve">margin</t>
  </si>
  <si>
    <t xml:space="preserve">flour</t>
  </si>
  <si>
    <t xml:space="preserve">Flour</t>
  </si>
  <si>
    <t xml:space="preserve">flourmill</t>
  </si>
  <si>
    <t xml:space="preserve">bread</t>
  </si>
  <si>
    <t xml:space="preserve">Bread</t>
  </si>
  <si>
    <t xml:space="preserve">bakery</t>
  </si>
  <si>
    <t xml:space="preserve">ember_oil</t>
  </si>
  <si>
    <t xml:space="preserve">Ember Oil</t>
  </si>
  <si>
    <t xml:space="preserve">spice_loaf</t>
  </si>
  <si>
    <t xml:space="preserve">Spice Loaf</t>
  </si>
  <si>
    <t xml:space="preserve">Leave input2_id blank for single-input recipes. Lookups search Crops first, then Goods.</t>
  </si>
  <si>
    <t xml:space="preserve">Placeholder values. Every margin must stay positive or the crafting chain is a trap.</t>
  </si>
  <si>
    <t xml:space="preserve">Production Buildings</t>
  </si>
  <si>
    <t xml:space="preserve">slots = how many jobs can run in parallel. A cheap early lever for both pacing and future monetization.</t>
  </si>
  <si>
    <t xml:space="preserve">gold_cost</t>
  </si>
  <si>
    <t xml:space="preserve">build_sec</t>
  </si>
  <si>
    <t xml:space="preserve">slots</t>
  </si>
  <si>
    <t xml:space="preserve">notes</t>
  </si>
  <si>
    <t xml:space="preserve">Flourmill</t>
  </si>
  <si>
    <t xml:space="preserve">First production building. Unlocks the Sunwheat chain.</t>
  </si>
  <si>
    <t xml:space="preserve">Bakery</t>
  </si>
  <si>
    <t xml:space="preserve">Second tier. Consumes Flour.</t>
  </si>
  <si>
    <t xml:space="preserve">Additional slots per building are a natural later paid upgrade (requirement E5). Keep slots data-driven.</t>
  </si>
  <si>
    <t xml:space="preserve">Farm Levels 1-10</t>
  </si>
  <si>
    <t xml:space="preserve">XP to reach level N = XP_CURVE_BASE x (N-1)^XP_CURVE_EXP. Change the curve in Globals, not here.</t>
  </si>
  <si>
    <t xml:space="preserve">level</t>
  </si>
  <si>
    <t xml:space="preserve">xp_to_reach</t>
  </si>
  <si>
    <t xml:space="preserve">cumulative_xp</t>
  </si>
  <si>
    <t xml:space="preserve">plots_unlocked</t>
  </si>
  <si>
    <t xml:space="preserve">storage_cap</t>
  </si>
  <si>
    <t xml:space="preserve">unlocks</t>
  </si>
  <si>
    <t xml:space="preserve">Sunwheat. Starting plots.</t>
  </si>
  <si>
    <t xml:space="preserve">Flourmill. Flour.</t>
  </si>
  <si>
    <t xml:space="preserve">Duskcorn. Order board.</t>
  </si>
  <si>
    <t xml:space="preserve">Bakery. Bread.</t>
  </si>
  <si>
    <t xml:space="preserve">Territory expansion I. Decor storage.</t>
  </si>
  <si>
    <t xml:space="preserve">Ember Pepper. Pets.</t>
  </si>
  <si>
    <t xml:space="preserve">Ember Oil. Daily quests.</t>
  </si>
  <si>
    <t xml:space="preserve">Spice Loaf. Train deliveries.</t>
  </si>
  <si>
    <t xml:space="preserve">Territory expansion II.</t>
  </si>
  <si>
    <t xml:space="preserve">Weekly quests. Layout saving.</t>
  </si>
  <si>
    <t xml:space="preserve">plots and storage_cap use placeholder formulas, not design intent. Replace with a considered curve in the tuning phase.</t>
  </si>
  <si>
    <t xml:space="preserve">Orders and Deliveries</t>
  </si>
  <si>
    <t xml:space="preserve">Rewards are derived from the value of what is requested. Never hand-write a gold reward - it guarantees drift.</t>
  </si>
  <si>
    <t xml:space="preserve">order_id</t>
  </si>
  <si>
    <t xml:space="preserve">type</t>
  </si>
  <si>
    <t xml:space="preserve">min_level</t>
  </si>
  <si>
    <t xml:space="preserve">item1_id</t>
  </si>
  <si>
    <t xml:space="preserve">qty1</t>
  </si>
  <si>
    <t xml:space="preserve">item2_id</t>
  </si>
  <si>
    <t xml:space="preserve">qty2</t>
  </si>
  <si>
    <t xml:space="preserve">item3_id</t>
  </si>
  <si>
    <t xml:space="preserve">qty3</t>
  </si>
  <si>
    <t xml:space="preserve">goods_value</t>
  </si>
  <si>
    <t xml:space="preserve">gold_reward</t>
  </si>
  <si>
    <t xml:space="preserve">xp_reward</t>
  </si>
  <si>
    <t xml:space="preserve">starlight_reward</t>
  </si>
  <si>
    <t xml:space="preserve">ORD_S_01</t>
  </si>
  <si>
    <t xml:space="preserve">standard</t>
  </si>
  <si>
    <t xml:space="preserve">ORD_S_02</t>
  </si>
  <si>
    <t xml:space="preserve">ORD_S_03</t>
  </si>
  <si>
    <t xml:space="preserve">ORD_T_01</t>
  </si>
  <si>
    <t xml:space="preserve">train</t>
  </si>
  <si>
    <t xml:space="preserve">These four are format examples. Live orders should be generated at runtime from unlocked items using these same formulas.</t>
  </si>
  <si>
    <t xml:space="preserve">Standard orders award Starlight probabilistically (Globals STARLIGHT_ORDER_CHANCE); train orders award it deterministically.</t>
  </si>
  <si>
    <t xml:space="preserve">Gold is the working currency. Starlight is scarce and must always have more demand than supply.</t>
  </si>
  <si>
    <t xml:space="preserve">currency</t>
  </si>
  <si>
    <t xml:space="preserve">flow</t>
  </si>
  <si>
    <t xml:space="preserve">source_or_sink</t>
  </si>
  <si>
    <t xml:space="preserve">amount</t>
  </si>
  <si>
    <t xml:space="preserve">source</t>
  </si>
  <si>
    <t xml:space="preserve">Selling crops</t>
  </si>
  <si>
    <t xml:space="preserve">see Crops</t>
  </si>
  <si>
    <t xml:space="preserve">Baseline income. Deliberately the worst gold/hr option.</t>
  </si>
  <si>
    <t xml:space="preserve">Selling goods</t>
  </si>
  <si>
    <t xml:space="preserve">see Goods</t>
  </si>
  <si>
    <t xml:space="preserve">Better than raw crops after accounting for time.</t>
  </si>
  <si>
    <t xml:space="preserve">Standard orders</t>
  </si>
  <si>
    <t xml:space="preserve">value x ORDER_GOLD_MULT</t>
  </si>
  <si>
    <t xml:space="preserve">Best routine income. Drives engagement with the order board.</t>
  </si>
  <si>
    <t xml:space="preserve">Train deliveries</t>
  </si>
  <si>
    <t xml:space="preserve">value x TRAIN_BONUS_MULT</t>
  </si>
  <si>
    <t xml:space="preserve">Large, infrequent, long completion window.</t>
  </si>
  <si>
    <t xml:space="preserve">sink</t>
  </si>
  <si>
    <t xml:space="preserve">Seeds</t>
  </si>
  <si>
    <t xml:space="preserve">Small continuous drain.</t>
  </si>
  <si>
    <t xml:space="preserve">see Buildings</t>
  </si>
  <si>
    <t xml:space="preserve">Major early sink.</t>
  </si>
  <si>
    <t xml:space="preserve">Territory expansion</t>
  </si>
  <si>
    <t xml:space="preserve">TBD</t>
  </si>
  <si>
    <t xml:space="preserve">Should be the dominant mid-game sink. Not yet specified.</t>
  </si>
  <si>
    <t xml:space="preserve">Decor</t>
  </si>
  <si>
    <t xml:space="preserve">Optional sink. Needed or late-game gold becomes meaningless.</t>
  </si>
  <si>
    <t xml:space="preserve">starlight</t>
  </si>
  <si>
    <t xml:space="preserve">Order completion</t>
  </si>
  <si>
    <t xml:space="preserve">1 @ 15% chance</t>
  </si>
  <si>
    <t xml:space="preserve">Globals STARLIGHT_ORDER_CHANCE.</t>
  </si>
  <si>
    <t xml:space="preserve">Harvest drop</t>
  </si>
  <si>
    <t xml:space="preserve">1 @ 1% chance</t>
  </si>
  <si>
    <t xml:space="preserve">Globals STARLIGHT_HARVEST_CHANCE.</t>
  </si>
  <si>
    <t xml:space="preserve">Train delivery</t>
  </si>
  <si>
    <t xml:space="preserve">2 guaranteed</t>
  </si>
  <si>
    <t xml:space="preserve">The reliable path. Rewards planning.</t>
  </si>
  <si>
    <t xml:space="preserve">Growth speedup</t>
  </si>
  <si>
    <t xml:space="preserve">Reserved as a plausible future paid feature (E5). Keep earnable in v1.</t>
  </si>
  <si>
    <t xml:space="preserve">Extra plot slot</t>
  </si>
  <si>
    <t xml:space="preserve">Same.</t>
  </si>
  <si>
    <t xml:space="preserve">Storage upgrade</t>
  </si>
  <si>
    <t xml:space="preserve">TBD rows are unresolved design questions, not omissions. They must be closed before the tuning phase.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</si>
</sst>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5B4A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5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3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4" t="s">
        <v>11</v>
      </c>
      <c r="B11" s="3"/>
    </row>
    <row r="12" customFormat="false" ht="15" hidden="false" customHeight="false" outlineLevel="0" collapsed="false">
      <c r="A12" s="3" t="s">
        <v>12</v>
      </c>
      <c r="B12" s="3" t="s">
        <v>13</v>
      </c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 t="s">
        <v>16</v>
      </c>
      <c r="B14" s="3" t="s">
        <v>17</v>
      </c>
    </row>
    <row r="15" customFormat="false" ht="15" hidden="false" customHeight="false" outlineLevel="0" collapsed="false">
      <c r="A15" s="3" t="s">
        <v>18</v>
      </c>
      <c r="B15" s="3" t="s">
        <v>19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3" t="s">
        <v>22</v>
      </c>
      <c r="B17" s="3" t="s">
        <v>23</v>
      </c>
    </row>
    <row r="18" customFormat="false" ht="15" hidden="false" customHeight="false" outlineLevel="0" collapsed="false">
      <c r="A18" s="3" t="s">
        <v>24</v>
      </c>
      <c r="B18" s="3" t="s">
        <v>25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4" t="s">
        <v>26</v>
      </c>
      <c r="B20" s="3"/>
    </row>
    <row r="21" customFormat="false" ht="15" hidden="false" customHeight="false" outlineLevel="0" collapsed="false">
      <c r="A21" s="3"/>
      <c r="B21" s="3" t="s">
        <v>27</v>
      </c>
    </row>
    <row r="22" customFormat="false" ht="15" hidden="false" customHeight="false" outlineLevel="0" collapsed="false">
      <c r="A22" s="3"/>
      <c r="B22" s="3" t="s">
        <v>28</v>
      </c>
    </row>
    <row r="23" customFormat="false" ht="15" hidden="false" customHeight="false" outlineLevel="0" collapsed="false">
      <c r="A23" s="3"/>
      <c r="B23" s="3" t="s">
        <v>29</v>
      </c>
    </row>
    <row r="24" customFormat="false" ht="15" hidden="false" customHeight="false" outlineLevel="0" collapsed="false">
      <c r="A24" s="3"/>
      <c r="B24" s="3"/>
    </row>
    <row r="25" customFormat="false" ht="15" hidden="false" customHeight="false" outlineLevel="0" collapsed="false">
      <c r="A25" s="4" t="s">
        <v>30</v>
      </c>
      <c r="B25" s="3"/>
    </row>
    <row r="26" customFormat="false" ht="15" hidden="false" customHeight="false" outlineLevel="0" collapsed="false">
      <c r="A26" s="3"/>
      <c r="B26" s="3" t="s">
        <v>31</v>
      </c>
    </row>
    <row r="27" customFormat="false" ht="15" hidden="false" customHeight="false" outlineLevel="0" collapsed="false">
      <c r="A27" s="3"/>
      <c r="B27" s="3" t="s">
        <v>32</v>
      </c>
    </row>
    <row r="28" customFormat="false" ht="15" hidden="false" customHeight="false" outlineLevel="0" collapsed="false">
      <c r="A28" s="3"/>
      <c r="B28" s="3"/>
    </row>
    <row r="29" customFormat="false" ht="15" hidden="false" customHeight="false" outlineLevel="0" collapsed="false">
      <c r="A29" s="4" t="s">
        <v>33</v>
      </c>
      <c r="B29" s="3"/>
    </row>
    <row r="30" customFormat="false" ht="15" hidden="false" customHeight="false" outlineLevel="0" collapsed="false">
      <c r="A30" s="3"/>
      <c r="B30" s="3" t="s">
        <v>34</v>
      </c>
    </row>
    <row r="31" customFormat="false" ht="15" hidden="false" customHeight="false" outlineLevel="0" collapsed="false">
      <c r="A31" s="3"/>
      <c r="B31" s="3" t="s">
        <v>35</v>
      </c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4" t="s">
        <v>36</v>
      </c>
      <c r="B33" s="3"/>
    </row>
    <row r="34" customFormat="false" ht="15" hidden="false" customHeight="false" outlineLevel="0" collapsed="false">
      <c r="A34" s="3"/>
      <c r="B34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8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5" t="s">
        <v>40</v>
      </c>
      <c r="B4" s="5" t="s">
        <v>41</v>
      </c>
      <c r="C4" s="5" t="s">
        <v>42</v>
      </c>
      <c r="D4" s="5" t="s">
        <v>43</v>
      </c>
    </row>
    <row r="5" customFormat="false" ht="15" hidden="false" customHeight="false" outlineLevel="0" collapsed="false">
      <c r="A5" s="6" t="s">
        <v>44</v>
      </c>
      <c r="B5" s="7" t="n">
        <v>1</v>
      </c>
      <c r="C5" s="6" t="s">
        <v>45</v>
      </c>
      <c r="D5" s="2" t="s">
        <v>46</v>
      </c>
    </row>
    <row r="6" customFormat="false" ht="15" hidden="false" customHeight="false" outlineLevel="0" collapsed="false">
      <c r="A6" s="6" t="s">
        <v>47</v>
      </c>
      <c r="B6" s="7" t="n">
        <v>1</v>
      </c>
      <c r="C6" s="6" t="s">
        <v>45</v>
      </c>
      <c r="D6" s="2" t="s">
        <v>48</v>
      </c>
    </row>
    <row r="7" customFormat="false" ht="15" hidden="false" customHeight="false" outlineLevel="0" collapsed="false">
      <c r="A7" s="6" t="s">
        <v>49</v>
      </c>
      <c r="B7" s="7" t="n">
        <v>1</v>
      </c>
      <c r="C7" s="6" t="s">
        <v>45</v>
      </c>
      <c r="D7" s="2" t="s">
        <v>50</v>
      </c>
    </row>
    <row r="8" customFormat="false" ht="15" hidden="false" customHeight="false" outlineLevel="0" collapsed="false">
      <c r="A8" s="6" t="s">
        <v>51</v>
      </c>
      <c r="B8" s="7" t="n">
        <v>1</v>
      </c>
      <c r="C8" s="6" t="s">
        <v>45</v>
      </c>
      <c r="D8" s="2" t="s">
        <v>52</v>
      </c>
    </row>
    <row r="9" customFormat="false" ht="15" hidden="false" customHeight="false" outlineLevel="0" collapsed="false">
      <c r="A9" s="6" t="s">
        <v>53</v>
      </c>
      <c r="B9" s="7" t="n">
        <v>1.6</v>
      </c>
      <c r="C9" s="6" t="s">
        <v>45</v>
      </c>
      <c r="D9" s="2" t="s">
        <v>54</v>
      </c>
    </row>
    <row r="10" customFormat="false" ht="15" hidden="false" customHeight="false" outlineLevel="0" collapsed="false">
      <c r="A10" s="6" t="s">
        <v>55</v>
      </c>
      <c r="B10" s="7" t="n">
        <v>0.25</v>
      </c>
      <c r="C10" s="6" t="s">
        <v>45</v>
      </c>
      <c r="D10" s="2" t="s">
        <v>56</v>
      </c>
    </row>
    <row r="11" customFormat="false" ht="15" hidden="false" customHeight="false" outlineLevel="0" collapsed="false">
      <c r="A11" s="6" t="s">
        <v>57</v>
      </c>
      <c r="B11" s="7" t="n">
        <v>2.5</v>
      </c>
      <c r="C11" s="6" t="s">
        <v>45</v>
      </c>
      <c r="D11" s="2" t="s">
        <v>58</v>
      </c>
    </row>
    <row r="12" customFormat="false" ht="15" hidden="false" customHeight="false" outlineLevel="0" collapsed="false">
      <c r="A12" s="6" t="s">
        <v>59</v>
      </c>
      <c r="B12" s="7" t="n">
        <v>0.15</v>
      </c>
      <c r="C12" s="6" t="s">
        <v>60</v>
      </c>
      <c r="D12" s="2" t="s">
        <v>61</v>
      </c>
    </row>
    <row r="13" customFormat="false" ht="15" hidden="false" customHeight="false" outlineLevel="0" collapsed="false">
      <c r="A13" s="6" t="s">
        <v>62</v>
      </c>
      <c r="B13" s="7" t="n">
        <v>0.01</v>
      </c>
      <c r="C13" s="6" t="s">
        <v>60</v>
      </c>
      <c r="D13" s="2" t="s">
        <v>63</v>
      </c>
    </row>
    <row r="14" customFormat="false" ht="15" hidden="false" customHeight="false" outlineLevel="0" collapsed="false">
      <c r="A14" s="6" t="s">
        <v>64</v>
      </c>
      <c r="B14" s="7" t="n">
        <v>60</v>
      </c>
      <c r="C14" s="6" t="s">
        <v>65</v>
      </c>
      <c r="D14" s="2" t="s">
        <v>66</v>
      </c>
    </row>
    <row r="15" customFormat="false" ht="15" hidden="false" customHeight="false" outlineLevel="0" collapsed="false">
      <c r="A15" s="6" t="s">
        <v>67</v>
      </c>
      <c r="B15" s="7" t="n">
        <v>1.85</v>
      </c>
      <c r="C15" s="6" t="s">
        <v>68</v>
      </c>
      <c r="D15" s="2" t="s">
        <v>69</v>
      </c>
    </row>
    <row r="16" customFormat="false" ht="15" hidden="false" customHeight="false" outlineLevel="0" collapsed="false">
      <c r="A16" s="6" t="s">
        <v>70</v>
      </c>
      <c r="B16" s="7" t="n">
        <v>250</v>
      </c>
      <c r="C16" s="6" t="s">
        <v>71</v>
      </c>
      <c r="D16" s="2" t="s">
        <v>72</v>
      </c>
    </row>
    <row r="17" customFormat="false" ht="15" hidden="false" customHeight="false" outlineLevel="0" collapsed="false">
      <c r="A17" s="6" t="s">
        <v>73</v>
      </c>
      <c r="B17" s="7" t="n">
        <v>4</v>
      </c>
      <c r="C17" s="6" t="s">
        <v>74</v>
      </c>
      <c r="D17" s="2" t="s">
        <v>75</v>
      </c>
    </row>
    <row r="19" customFormat="false" ht="15" hidden="false" customHeight="false" outlineLevel="0" collapsed="false">
      <c r="A19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1" min="10" style="0" width="9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77</v>
      </c>
    </row>
    <row r="4" customFormat="false" ht="30" hidden="false" customHeight="true" outlineLevel="0" collapsed="false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87</v>
      </c>
      <c r="K4" s="5" t="s">
        <v>88</v>
      </c>
      <c r="L4" s="5" t="s">
        <v>89</v>
      </c>
      <c r="M4" s="5" t="s">
        <v>90</v>
      </c>
      <c r="N4" s="5" t="s">
        <v>91</v>
      </c>
      <c r="O4" s="5" t="s">
        <v>92</v>
      </c>
    </row>
    <row r="5" customFormat="false" ht="15" hidden="false" customHeight="false" outlineLevel="0" collapsed="false">
      <c r="A5" s="8" t="s">
        <v>93</v>
      </c>
      <c r="B5" s="8" t="s">
        <v>94</v>
      </c>
      <c r="C5" s="8" t="n">
        <v>1</v>
      </c>
      <c r="D5" s="8" t="n">
        <v>3</v>
      </c>
      <c r="E5" s="8" t="n">
        <v>120</v>
      </c>
      <c r="F5" s="9" t="n">
        <f aca="false">E5*Globals!$B$5</f>
        <v>120</v>
      </c>
      <c r="G5" s="8" t="n">
        <v>2</v>
      </c>
      <c r="H5" s="8" t="n">
        <v>6</v>
      </c>
      <c r="I5" s="9" t="n">
        <f aca="false">H5*Globals!$B$7</f>
        <v>6</v>
      </c>
      <c r="J5" s="8" t="n">
        <v>2</v>
      </c>
      <c r="K5" s="9" t="n">
        <f aca="false">J5*Globals!$B$8</f>
        <v>2</v>
      </c>
      <c r="L5" s="10" t="n">
        <f aca="false">G5*I5</f>
        <v>12</v>
      </c>
      <c r="M5" s="10" t="n">
        <f aca="false">L5-D5</f>
        <v>9</v>
      </c>
      <c r="N5" s="10" t="n">
        <f aca="false">IFERROR(M5/(F5/3600),0)</f>
        <v>270</v>
      </c>
      <c r="O5" s="10" t="n">
        <f aca="false">IFERROR(K5/(F5/3600),0)</f>
        <v>60</v>
      </c>
    </row>
    <row r="6" customFormat="false" ht="15" hidden="false" customHeight="false" outlineLevel="0" collapsed="false">
      <c r="A6" s="8" t="s">
        <v>95</v>
      </c>
      <c r="B6" s="8" t="s">
        <v>96</v>
      </c>
      <c r="C6" s="8" t="n">
        <v>3</v>
      </c>
      <c r="D6" s="8" t="n">
        <v>12</v>
      </c>
      <c r="E6" s="8" t="n">
        <v>600</v>
      </c>
      <c r="F6" s="9" t="n">
        <f aca="false">E6*Globals!$B$5</f>
        <v>600</v>
      </c>
      <c r="G6" s="8" t="n">
        <v>2</v>
      </c>
      <c r="H6" s="8" t="n">
        <v>22</v>
      </c>
      <c r="I6" s="9" t="n">
        <f aca="false">H6*Globals!$B$7</f>
        <v>22</v>
      </c>
      <c r="J6" s="8" t="n">
        <v>6</v>
      </c>
      <c r="K6" s="9" t="n">
        <f aca="false">J6*Globals!$B$8</f>
        <v>6</v>
      </c>
      <c r="L6" s="10" t="n">
        <f aca="false">G6*I6</f>
        <v>44</v>
      </c>
      <c r="M6" s="10" t="n">
        <f aca="false">L6-D6</f>
        <v>32</v>
      </c>
      <c r="N6" s="10" t="n">
        <f aca="false">IFERROR(M6/(F6/3600),0)</f>
        <v>192</v>
      </c>
      <c r="O6" s="10" t="n">
        <f aca="false">IFERROR(K6/(F6/3600),0)</f>
        <v>36</v>
      </c>
    </row>
    <row r="7" customFormat="false" ht="15" hidden="false" customHeight="false" outlineLevel="0" collapsed="false">
      <c r="A7" s="8" t="s">
        <v>97</v>
      </c>
      <c r="B7" s="8" t="s">
        <v>98</v>
      </c>
      <c r="C7" s="8" t="n">
        <v>6</v>
      </c>
      <c r="D7" s="8" t="n">
        <v>40</v>
      </c>
      <c r="E7" s="8" t="n">
        <v>1800</v>
      </c>
      <c r="F7" s="9" t="n">
        <f aca="false">E7*Globals!$B$5</f>
        <v>1800</v>
      </c>
      <c r="G7" s="8" t="n">
        <v>3</v>
      </c>
      <c r="H7" s="8" t="n">
        <v>55</v>
      </c>
      <c r="I7" s="9" t="n">
        <f aca="false">H7*Globals!$B$7</f>
        <v>55</v>
      </c>
      <c r="J7" s="8" t="n">
        <v>16</v>
      </c>
      <c r="K7" s="9" t="n">
        <f aca="false">J7*Globals!$B$8</f>
        <v>16</v>
      </c>
      <c r="L7" s="10" t="n">
        <f aca="false">G7*I7</f>
        <v>165</v>
      </c>
      <c r="M7" s="10" t="n">
        <f aca="false">L7-D7</f>
        <v>125</v>
      </c>
      <c r="N7" s="10" t="n">
        <f aca="false">IFERROR(M7/(F7/3600),0)</f>
        <v>250</v>
      </c>
      <c r="O7" s="10" t="n">
        <f aca="false">IFERROR(K7/(F7/3600),0)</f>
        <v>32</v>
      </c>
    </row>
    <row r="9" customFormat="false" ht="15" hidden="false" customHeight="false" outlineLevel="0" collapsed="false">
      <c r="A9" s="2" t="s">
        <v>99</v>
      </c>
    </row>
    <row r="10" customFormat="false" ht="15" hidden="false" customHeight="false" outlineLevel="0" collapsed="false">
      <c r="A10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5" min="14" style="0" width="9"/>
    <col collapsed="false" customWidth="true" hidden="false" outlineLevel="0" max="18" min="16" style="0" width="11"/>
    <col collapsed="false" customWidth="true" hidden="false" outlineLevel="0" max="19" min="19" style="0" width="12"/>
    <col collapsed="false" customWidth="true" hidden="false" outlineLevel="0" max="20" min="20" style="0" width="11"/>
  </cols>
  <sheetData>
    <row r="1" customFormat="false" ht="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0" hidden="false" customHeight="true" outlineLevel="0" collapsed="false">
      <c r="A4" s="5" t="s">
        <v>78</v>
      </c>
      <c r="B4" s="5" t="s">
        <v>79</v>
      </c>
      <c r="C4" s="5" t="s">
        <v>103</v>
      </c>
      <c r="D4" s="5" t="s">
        <v>80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85</v>
      </c>
      <c r="M4" s="5" t="s">
        <v>86</v>
      </c>
      <c r="N4" s="5" t="s">
        <v>87</v>
      </c>
      <c r="O4" s="5" t="s">
        <v>88</v>
      </c>
      <c r="P4" s="5" t="s">
        <v>111</v>
      </c>
      <c r="Q4" s="5" t="s">
        <v>112</v>
      </c>
      <c r="R4" s="5" t="s">
        <v>113</v>
      </c>
      <c r="S4" s="5" t="s">
        <v>91</v>
      </c>
      <c r="T4" s="5" t="s">
        <v>92</v>
      </c>
    </row>
    <row r="5" customFormat="false" ht="15" hidden="false" customHeight="false" outlineLevel="0" collapsed="false">
      <c r="A5" s="8" t="s">
        <v>114</v>
      </c>
      <c r="B5" s="8" t="s">
        <v>115</v>
      </c>
      <c r="C5" s="8" t="s">
        <v>116</v>
      </c>
      <c r="D5" s="8" t="n">
        <v>2</v>
      </c>
      <c r="E5" s="8" t="s">
        <v>93</v>
      </c>
      <c r="F5" s="8" t="n">
        <v>3</v>
      </c>
      <c r="G5" s="8"/>
      <c r="H5" s="8" t="n">
        <v>0</v>
      </c>
      <c r="I5" s="8" t="n">
        <v>300</v>
      </c>
      <c r="J5" s="9" t="n">
        <f aca="false">I5*Globals!$B$6</f>
        <v>300</v>
      </c>
      <c r="K5" s="8" t="n">
        <v>1</v>
      </c>
      <c r="L5" s="8" t="n">
        <v>24</v>
      </c>
      <c r="M5" s="9" t="n">
        <f aca="false">L5*Globals!$B$7</f>
        <v>24</v>
      </c>
      <c r="N5" s="8" t="n">
        <v>4</v>
      </c>
      <c r="O5" s="9" t="n">
        <f aca="false">N5*Globals!$B$8</f>
        <v>4</v>
      </c>
      <c r="P5" s="10" t="n">
        <f aca="false">IFERROR(IFERROR(INDEX(Crops!$I$5:$I$40,MATCH($E5,Crops!$A$5:$A$40,0)),INDEX($M$5:$M$40,MATCH($E5,$A$5:$A$40,0)))*$F5,0)+IFERROR(IFERROR(INDEX(Crops!$I$5:$I$40,MATCH($G5,Crops!$A$5:$A$40,0)),INDEX($M$5:$M$40,MATCH($G5,$A$5:$A$40,0)))*$H5,0)</f>
        <v>18</v>
      </c>
      <c r="Q5" s="10" t="n">
        <f aca="false">K5*M5</f>
        <v>24</v>
      </c>
      <c r="R5" s="10" t="n">
        <f aca="false">Q5-P5</f>
        <v>6</v>
      </c>
      <c r="S5" s="10" t="n">
        <f aca="false">IFERROR(R5/(J5/3600),0)</f>
        <v>72</v>
      </c>
      <c r="T5" s="10" t="n">
        <f aca="false">IFERROR(O5/(J5/3600),0)</f>
        <v>48</v>
      </c>
    </row>
    <row r="6" customFormat="false" ht="15" hidden="false" customHeight="false" outlineLevel="0" collapsed="false">
      <c r="A6" s="8" t="s">
        <v>117</v>
      </c>
      <c r="B6" s="8" t="s">
        <v>118</v>
      </c>
      <c r="C6" s="8" t="s">
        <v>119</v>
      </c>
      <c r="D6" s="8" t="n">
        <v>4</v>
      </c>
      <c r="E6" s="8" t="s">
        <v>114</v>
      </c>
      <c r="F6" s="8" t="n">
        <v>2</v>
      </c>
      <c r="G6" s="8"/>
      <c r="H6" s="8" t="n">
        <v>0</v>
      </c>
      <c r="I6" s="8" t="n">
        <v>600</v>
      </c>
      <c r="J6" s="9" t="n">
        <f aca="false">I6*Globals!$B$6</f>
        <v>600</v>
      </c>
      <c r="K6" s="8" t="n">
        <v>1</v>
      </c>
      <c r="L6" s="8" t="n">
        <v>72</v>
      </c>
      <c r="M6" s="9" t="n">
        <f aca="false">L6*Globals!$B$7</f>
        <v>72</v>
      </c>
      <c r="N6" s="8" t="n">
        <v>12</v>
      </c>
      <c r="O6" s="9" t="n">
        <f aca="false">N6*Globals!$B$8</f>
        <v>12</v>
      </c>
      <c r="P6" s="10" t="n">
        <f aca="false">IFERROR(IFERROR(INDEX(Crops!$I$5:$I$40,MATCH($E6,Crops!$A$5:$A$40,0)),INDEX($M$5:$M$40,MATCH($E6,$A$5:$A$40,0)))*$F6,0)+IFERROR(IFERROR(INDEX(Crops!$I$5:$I$40,MATCH($G6,Crops!$A$5:$A$40,0)),INDEX($M$5:$M$40,MATCH($G6,$A$5:$A$40,0)))*$H6,0)</f>
        <v>48</v>
      </c>
      <c r="Q6" s="10" t="n">
        <f aca="false">K6*M6</f>
        <v>72</v>
      </c>
      <c r="R6" s="10" t="n">
        <f aca="false">Q6-P6</f>
        <v>24</v>
      </c>
      <c r="S6" s="10" t="n">
        <f aca="false">IFERROR(R6/(J6/3600),0)</f>
        <v>144</v>
      </c>
      <c r="T6" s="10" t="n">
        <f aca="false">IFERROR(O6/(J6/3600),0)</f>
        <v>72</v>
      </c>
    </row>
    <row r="7" customFormat="false" ht="15" hidden="false" customHeight="false" outlineLevel="0" collapsed="false">
      <c r="A7" s="8" t="s">
        <v>120</v>
      </c>
      <c r="B7" s="8" t="s">
        <v>121</v>
      </c>
      <c r="C7" s="8" t="s">
        <v>116</v>
      </c>
      <c r="D7" s="8" t="n">
        <v>7</v>
      </c>
      <c r="E7" s="8" t="s">
        <v>97</v>
      </c>
      <c r="F7" s="8" t="n">
        <v>3</v>
      </c>
      <c r="G7" s="8"/>
      <c r="H7" s="8" t="n">
        <v>0</v>
      </c>
      <c r="I7" s="8" t="n">
        <v>900</v>
      </c>
      <c r="J7" s="9" t="n">
        <f aca="false">I7*Globals!$B$6</f>
        <v>900</v>
      </c>
      <c r="K7" s="8" t="n">
        <v>1</v>
      </c>
      <c r="L7" s="8" t="n">
        <v>210</v>
      </c>
      <c r="M7" s="9" t="n">
        <f aca="false">L7*Globals!$B$7</f>
        <v>210</v>
      </c>
      <c r="N7" s="8" t="n">
        <v>30</v>
      </c>
      <c r="O7" s="9" t="n">
        <f aca="false">N7*Globals!$B$8</f>
        <v>30</v>
      </c>
      <c r="P7" s="10" t="n">
        <f aca="false">IFERROR(IFERROR(INDEX(Crops!$I$5:$I$40,MATCH($E7,Crops!$A$5:$A$40,0)),INDEX($M$5:$M$40,MATCH($E7,$A$5:$A$40,0)))*$F7,0)+IFERROR(IFERROR(INDEX(Crops!$I$5:$I$40,MATCH($G7,Crops!$A$5:$A$40,0)),INDEX($M$5:$M$40,MATCH($G7,$A$5:$A$40,0)))*$H7,0)</f>
        <v>165</v>
      </c>
      <c r="Q7" s="10" t="n">
        <f aca="false">K7*M7</f>
        <v>210</v>
      </c>
      <c r="R7" s="10" t="n">
        <f aca="false">Q7-P7</f>
        <v>45</v>
      </c>
      <c r="S7" s="10" t="n">
        <f aca="false">IFERROR(R7/(J7/3600),0)</f>
        <v>180</v>
      </c>
      <c r="T7" s="10" t="n">
        <f aca="false">IFERROR(O7/(J7/3600),0)</f>
        <v>120</v>
      </c>
    </row>
    <row r="8" customFormat="false" ht="15" hidden="false" customHeight="false" outlineLevel="0" collapsed="false">
      <c r="A8" s="8" t="s">
        <v>122</v>
      </c>
      <c r="B8" s="8" t="s">
        <v>123</v>
      </c>
      <c r="C8" s="8" t="s">
        <v>119</v>
      </c>
      <c r="D8" s="8" t="n">
        <v>8</v>
      </c>
      <c r="E8" s="8" t="s">
        <v>117</v>
      </c>
      <c r="F8" s="8" t="n">
        <v>1</v>
      </c>
      <c r="G8" s="8" t="s">
        <v>120</v>
      </c>
      <c r="H8" s="8" t="n">
        <v>1</v>
      </c>
      <c r="I8" s="8" t="n">
        <v>1200</v>
      </c>
      <c r="J8" s="9" t="n">
        <f aca="false">I8*Globals!$B$6</f>
        <v>1200</v>
      </c>
      <c r="K8" s="8" t="n">
        <v>1</v>
      </c>
      <c r="L8" s="8" t="n">
        <v>420</v>
      </c>
      <c r="M8" s="9" t="n">
        <f aca="false">L8*Globals!$B$7</f>
        <v>420</v>
      </c>
      <c r="N8" s="8" t="n">
        <v>48</v>
      </c>
      <c r="O8" s="9" t="n">
        <f aca="false">N8*Globals!$B$8</f>
        <v>48</v>
      </c>
      <c r="P8" s="10" t="n">
        <f aca="false">IFERROR(IFERROR(INDEX(Crops!$I$5:$I$40,MATCH($E8,Crops!$A$5:$A$40,0)),INDEX($M$5:$M$40,MATCH($E8,$A$5:$A$40,0)))*$F8,0)+IFERROR(IFERROR(INDEX(Crops!$I$5:$I$40,MATCH($G8,Crops!$A$5:$A$40,0)),INDEX($M$5:$M$40,MATCH($G8,$A$5:$A$40,0)))*$H8,0)</f>
        <v>282</v>
      </c>
      <c r="Q8" s="10" t="n">
        <f aca="false">K8*M8</f>
        <v>420</v>
      </c>
      <c r="R8" s="10" t="n">
        <f aca="false">Q8-P8</f>
        <v>138</v>
      </c>
      <c r="S8" s="10" t="n">
        <f aca="false">IFERROR(R8/(J8/3600),0)</f>
        <v>414</v>
      </c>
      <c r="T8" s="10" t="n">
        <f aca="false">IFERROR(O8/(J8/3600),0)</f>
        <v>144</v>
      </c>
    </row>
    <row r="10" customFormat="false" ht="15" hidden="false" customHeight="false" outlineLevel="0" collapsed="false">
      <c r="A10" s="2" t="s">
        <v>124</v>
      </c>
    </row>
    <row r="11" customFormat="false" ht="15" hidden="false" customHeight="false" outlineLevel="0" collapsed="false">
      <c r="A11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30" hidden="false" customHeight="true" outlineLevel="0" collapsed="false">
      <c r="A4" s="5" t="s">
        <v>78</v>
      </c>
      <c r="B4" s="5" t="s">
        <v>79</v>
      </c>
      <c r="C4" s="5" t="s">
        <v>80</v>
      </c>
      <c r="D4" s="5" t="s">
        <v>128</v>
      </c>
      <c r="E4" s="5" t="s">
        <v>129</v>
      </c>
      <c r="F4" s="5" t="s">
        <v>130</v>
      </c>
      <c r="G4" s="5" t="s">
        <v>131</v>
      </c>
    </row>
    <row r="5" customFormat="false" ht="15" hidden="false" customHeight="false" outlineLevel="0" collapsed="false">
      <c r="A5" s="11" t="s">
        <v>116</v>
      </c>
      <c r="B5" s="11" t="s">
        <v>132</v>
      </c>
      <c r="C5" s="11" t="n">
        <v>2</v>
      </c>
      <c r="D5" s="11" t="n">
        <v>300</v>
      </c>
      <c r="E5" s="11" t="n">
        <v>300</v>
      </c>
      <c r="F5" s="11" t="n">
        <v>2</v>
      </c>
      <c r="G5" s="2" t="s">
        <v>133</v>
      </c>
    </row>
    <row r="6" customFormat="false" ht="15" hidden="false" customHeight="false" outlineLevel="0" collapsed="false">
      <c r="A6" s="11" t="s">
        <v>119</v>
      </c>
      <c r="B6" s="11" t="s">
        <v>134</v>
      </c>
      <c r="C6" s="11" t="n">
        <v>4</v>
      </c>
      <c r="D6" s="11" t="n">
        <v>1200</v>
      </c>
      <c r="E6" s="11" t="n">
        <v>900</v>
      </c>
      <c r="F6" s="11" t="n">
        <v>2</v>
      </c>
      <c r="G6" s="2" t="s">
        <v>135</v>
      </c>
    </row>
    <row r="8" customFormat="false" ht="15" hidden="false" customHeight="false" outlineLevel="0" collapsed="false">
      <c r="A8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62"/>
  </cols>
  <sheetData>
    <row r="1" customFormat="false" ht="1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0" hidden="false" customHeight="true" outlineLevel="0" collapsed="false">
      <c r="A4" s="5" t="s">
        <v>139</v>
      </c>
      <c r="B4" s="5" t="s">
        <v>140</v>
      </c>
      <c r="C4" s="5" t="s">
        <v>141</v>
      </c>
      <c r="D4" s="5" t="s">
        <v>142</v>
      </c>
      <c r="E4" s="5" t="s">
        <v>143</v>
      </c>
      <c r="F4" s="5" t="s">
        <v>144</v>
      </c>
    </row>
    <row r="5" customFormat="false" ht="15" hidden="false" customHeight="false" outlineLevel="0" collapsed="false">
      <c r="A5" s="11" t="n">
        <v>1</v>
      </c>
      <c r="B5" s="6" t="n">
        <v>0</v>
      </c>
      <c r="C5" s="6" t="n">
        <v>0</v>
      </c>
      <c r="D5" s="12" t="n">
        <f aca="false">Globals!$B$17+INT((A5-1)*1.5)</f>
        <v>4</v>
      </c>
      <c r="E5" s="6" t="n">
        <f aca="false">50+(A5-1)*25</f>
        <v>50</v>
      </c>
      <c r="F5" s="11" t="s">
        <v>145</v>
      </c>
    </row>
    <row r="6" customFormat="false" ht="15" hidden="false" customHeight="false" outlineLevel="0" collapsed="false">
      <c r="A6" s="11" t="n">
        <v>2</v>
      </c>
      <c r="B6" s="12" t="n">
        <f aca="false">ROUND(Globals!$B$14*(A6-1)^Globals!$B$15,0)</f>
        <v>60</v>
      </c>
      <c r="C6" s="6" t="n">
        <f aca="false">C5+B6</f>
        <v>60</v>
      </c>
      <c r="D6" s="12" t="n">
        <f aca="false">Globals!$B$17+INT((A6-1)*1.5)</f>
        <v>5</v>
      </c>
      <c r="E6" s="6" t="n">
        <f aca="false">50+(A6-1)*25</f>
        <v>75</v>
      </c>
      <c r="F6" s="11" t="s">
        <v>146</v>
      </c>
    </row>
    <row r="7" customFormat="false" ht="15" hidden="false" customHeight="false" outlineLevel="0" collapsed="false">
      <c r="A7" s="11" t="n">
        <v>3</v>
      </c>
      <c r="B7" s="12" t="n">
        <f aca="false">ROUND(Globals!$B$14*(A7-1)^Globals!$B$15,0)</f>
        <v>216</v>
      </c>
      <c r="C7" s="6" t="n">
        <f aca="false">C6+B7</f>
        <v>276</v>
      </c>
      <c r="D7" s="12" t="n">
        <f aca="false">Globals!$B$17+INT((A7-1)*1.5)</f>
        <v>7</v>
      </c>
      <c r="E7" s="6" t="n">
        <f aca="false">50+(A7-1)*25</f>
        <v>100</v>
      </c>
      <c r="F7" s="11" t="s">
        <v>147</v>
      </c>
    </row>
    <row r="8" customFormat="false" ht="15" hidden="false" customHeight="false" outlineLevel="0" collapsed="false">
      <c r="A8" s="11" t="n">
        <v>4</v>
      </c>
      <c r="B8" s="12" t="n">
        <f aca="false">ROUND(Globals!$B$14*(A8-1)^Globals!$B$15,0)</f>
        <v>458</v>
      </c>
      <c r="C8" s="6" t="n">
        <f aca="false">C7+B8</f>
        <v>734</v>
      </c>
      <c r="D8" s="12" t="n">
        <f aca="false">Globals!$B$17+INT((A8-1)*1.5)</f>
        <v>8</v>
      </c>
      <c r="E8" s="6" t="n">
        <f aca="false">50+(A8-1)*25</f>
        <v>125</v>
      </c>
      <c r="F8" s="11" t="s">
        <v>148</v>
      </c>
    </row>
    <row r="9" customFormat="false" ht="15" hidden="false" customHeight="false" outlineLevel="0" collapsed="false">
      <c r="A9" s="11" t="n">
        <v>5</v>
      </c>
      <c r="B9" s="12" t="n">
        <f aca="false">ROUND(Globals!$B$14*(A9-1)^Globals!$B$15,0)</f>
        <v>780</v>
      </c>
      <c r="C9" s="6" t="n">
        <f aca="false">C8+B9</f>
        <v>1514</v>
      </c>
      <c r="D9" s="12" t="n">
        <f aca="false">Globals!$B$17+INT((A9-1)*1.5)</f>
        <v>10</v>
      </c>
      <c r="E9" s="6" t="n">
        <f aca="false">50+(A9-1)*25</f>
        <v>150</v>
      </c>
      <c r="F9" s="11" t="s">
        <v>149</v>
      </c>
    </row>
    <row r="10" customFormat="false" ht="15" hidden="false" customHeight="false" outlineLevel="0" collapsed="false">
      <c r="A10" s="11" t="n">
        <v>6</v>
      </c>
      <c r="B10" s="12" t="n">
        <f aca="false">ROUND(Globals!$B$14*(A10-1)^Globals!$B$15,0)</f>
        <v>1178</v>
      </c>
      <c r="C10" s="6" t="n">
        <f aca="false">C9+B10</f>
        <v>2692</v>
      </c>
      <c r="D10" s="12" t="n">
        <f aca="false">Globals!$B$17+INT((A10-1)*1.5)</f>
        <v>11</v>
      </c>
      <c r="E10" s="6" t="n">
        <f aca="false">50+(A10-1)*25</f>
        <v>175</v>
      </c>
      <c r="F10" s="11" t="s">
        <v>150</v>
      </c>
    </row>
    <row r="11" customFormat="false" ht="15" hidden="false" customHeight="false" outlineLevel="0" collapsed="false">
      <c r="A11" s="11" t="n">
        <v>7</v>
      </c>
      <c r="B11" s="12" t="n">
        <f aca="false">ROUND(Globals!$B$14*(A11-1)^Globals!$B$15,0)</f>
        <v>1651</v>
      </c>
      <c r="C11" s="6" t="n">
        <f aca="false">C10+B11</f>
        <v>4343</v>
      </c>
      <c r="D11" s="12" t="n">
        <f aca="false">Globals!$B$17+INT((A11-1)*1.5)</f>
        <v>13</v>
      </c>
      <c r="E11" s="6" t="n">
        <f aca="false">50+(A11-1)*25</f>
        <v>200</v>
      </c>
      <c r="F11" s="11" t="s">
        <v>151</v>
      </c>
    </row>
    <row r="12" customFormat="false" ht="15" hidden="false" customHeight="false" outlineLevel="0" collapsed="false">
      <c r="A12" s="11" t="n">
        <v>8</v>
      </c>
      <c r="B12" s="12" t="n">
        <f aca="false">ROUND(Globals!$B$14*(A12-1)^Globals!$B$15,0)</f>
        <v>2196</v>
      </c>
      <c r="C12" s="6" t="n">
        <f aca="false">C11+B12</f>
        <v>6539</v>
      </c>
      <c r="D12" s="12" t="n">
        <f aca="false">Globals!$B$17+INT((A12-1)*1.5)</f>
        <v>14</v>
      </c>
      <c r="E12" s="6" t="n">
        <f aca="false">50+(A12-1)*25</f>
        <v>225</v>
      </c>
      <c r="F12" s="11" t="s">
        <v>152</v>
      </c>
    </row>
    <row r="13" customFormat="false" ht="15" hidden="false" customHeight="false" outlineLevel="0" collapsed="false">
      <c r="A13" s="11" t="n">
        <v>9</v>
      </c>
      <c r="B13" s="12" t="n">
        <f aca="false">ROUND(Globals!$B$14*(A13-1)^Globals!$B$15,0)</f>
        <v>2811</v>
      </c>
      <c r="C13" s="6" t="n">
        <f aca="false">C12+B13</f>
        <v>9350</v>
      </c>
      <c r="D13" s="12" t="n">
        <f aca="false">Globals!$B$17+INT((A13-1)*1.5)</f>
        <v>16</v>
      </c>
      <c r="E13" s="6" t="n">
        <f aca="false">50+(A13-1)*25</f>
        <v>250</v>
      </c>
      <c r="F13" s="11" t="s">
        <v>153</v>
      </c>
    </row>
    <row r="14" customFormat="false" ht="15" hidden="false" customHeight="false" outlineLevel="0" collapsed="false">
      <c r="A14" s="11" t="n">
        <v>10</v>
      </c>
      <c r="B14" s="12" t="n">
        <f aca="false">ROUND(Globals!$B$14*(A14-1)^Globals!$B$15,0)</f>
        <v>3495</v>
      </c>
      <c r="C14" s="6" t="n">
        <f aca="false">C13+B14</f>
        <v>12845</v>
      </c>
      <c r="D14" s="12" t="n">
        <f aca="false">Globals!$B$17+INT((A14-1)*1.5)</f>
        <v>17</v>
      </c>
      <c r="E14" s="6" t="n">
        <f aca="false">50+(A14-1)*25</f>
        <v>275</v>
      </c>
      <c r="F14" s="11" t="s">
        <v>154</v>
      </c>
    </row>
    <row r="16" customFormat="false" ht="15" hidden="false" customHeight="false" outlineLevel="0" collapsed="false">
      <c r="A16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30" hidden="false" customHeight="true" outlineLevel="0" collapsed="false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5" t="s">
        <v>163</v>
      </c>
      <c r="G4" s="5" t="s">
        <v>164</v>
      </c>
      <c r="H4" s="5" t="s">
        <v>165</v>
      </c>
      <c r="I4" s="5" t="s">
        <v>166</v>
      </c>
      <c r="J4" s="5" t="s">
        <v>167</v>
      </c>
      <c r="K4" s="5" t="s">
        <v>168</v>
      </c>
      <c r="L4" s="5" t="s">
        <v>169</v>
      </c>
      <c r="M4" s="5" t="s">
        <v>170</v>
      </c>
    </row>
    <row r="5" customFormat="false" ht="15" hidden="false" customHeight="false" outlineLevel="0" collapsed="false">
      <c r="A5" s="11" t="s">
        <v>171</v>
      </c>
      <c r="B5" s="11" t="s">
        <v>172</v>
      </c>
      <c r="C5" s="11" t="n">
        <v>3</v>
      </c>
      <c r="D5" s="11" t="s">
        <v>93</v>
      </c>
      <c r="E5" s="11" t="n">
        <v>8</v>
      </c>
      <c r="F5" s="11"/>
      <c r="G5" s="11" t="n">
        <v>0</v>
      </c>
      <c r="H5" s="11"/>
      <c r="I5" s="11" t="n">
        <v>0</v>
      </c>
      <c r="J5" s="6" t="n">
        <f aca="false">IFERROR(IFERROR(INDEX(Crops!$I$5:$I$40,MATCH($D5,Crops!$A$5:$A$40,0)),INDEX(Goods!$M$5:$M$40,MATCH($D5,Goods!$A$5:$A$40,0)))*$E5,0)+IFERROR(IFERROR(INDEX(Crops!$I$5:$I$40,MATCH($F5,Crops!$A$5:$A$40,0)),INDEX(Goods!$M$5:$M$40,MATCH($F5,Goods!$A$5:$A$40,0)))*$G5,0)+IFERROR(IFERROR(INDEX(Crops!$I$5:$I$40,MATCH($H5,Crops!$A$5:$A$40,0)),INDEX(Goods!$M$5:$M$40,MATCH($H5,Goods!$A$5:$A$40,0)))*$I5,0)</f>
        <v>48</v>
      </c>
      <c r="K5" s="12" t="n">
        <f aca="false">ROUND(J5*IF($B5="train",Globals!$B$11,Globals!$B$9),0)</f>
        <v>77</v>
      </c>
      <c r="L5" s="12" t="n">
        <f aca="false">ROUND(J5*Globals!$B$10,0)</f>
        <v>12</v>
      </c>
      <c r="M5" s="6" t="n">
        <f aca="false">IF($B5="train",2,0)</f>
        <v>0</v>
      </c>
    </row>
    <row r="6" customFormat="false" ht="15" hidden="false" customHeight="false" outlineLevel="0" collapsed="false">
      <c r="A6" s="11" t="s">
        <v>173</v>
      </c>
      <c r="B6" s="11" t="s">
        <v>172</v>
      </c>
      <c r="C6" s="11" t="n">
        <v>4</v>
      </c>
      <c r="D6" s="11" t="s">
        <v>114</v>
      </c>
      <c r="E6" s="11" t="n">
        <v>4</v>
      </c>
      <c r="F6" s="11" t="s">
        <v>93</v>
      </c>
      <c r="G6" s="11" t="n">
        <v>6</v>
      </c>
      <c r="H6" s="11"/>
      <c r="I6" s="11" t="n">
        <v>0</v>
      </c>
      <c r="J6" s="6" t="n">
        <f aca="false">IFERROR(IFERROR(INDEX(Crops!$I$5:$I$40,MATCH($D6,Crops!$A$5:$A$40,0)),INDEX(Goods!$M$5:$M$40,MATCH($D6,Goods!$A$5:$A$40,0)))*$E6,0)+IFERROR(IFERROR(INDEX(Crops!$I$5:$I$40,MATCH($F6,Crops!$A$5:$A$40,0)),INDEX(Goods!$M$5:$M$40,MATCH($F6,Goods!$A$5:$A$40,0)))*$G6,0)+IFERROR(IFERROR(INDEX(Crops!$I$5:$I$40,MATCH($H6,Crops!$A$5:$A$40,0)),INDEX(Goods!$M$5:$M$40,MATCH($H6,Goods!$A$5:$A$40,0)))*$I6,0)</f>
        <v>132</v>
      </c>
      <c r="K6" s="12" t="n">
        <f aca="false">ROUND(J6*IF($B6="train",Globals!$B$11,Globals!$B$9),0)</f>
        <v>211</v>
      </c>
      <c r="L6" s="12" t="n">
        <f aca="false">ROUND(J6*Globals!$B$10,0)</f>
        <v>33</v>
      </c>
      <c r="M6" s="6" t="n">
        <f aca="false">IF($B6="train",2,0)</f>
        <v>0</v>
      </c>
    </row>
    <row r="7" customFormat="false" ht="15" hidden="false" customHeight="false" outlineLevel="0" collapsed="false">
      <c r="A7" s="11" t="s">
        <v>174</v>
      </c>
      <c r="B7" s="11" t="s">
        <v>172</v>
      </c>
      <c r="C7" s="11" t="n">
        <v>5</v>
      </c>
      <c r="D7" s="11" t="s">
        <v>117</v>
      </c>
      <c r="E7" s="11" t="n">
        <v>3</v>
      </c>
      <c r="F7" s="11" t="s">
        <v>114</v>
      </c>
      <c r="G7" s="11" t="n">
        <v>2</v>
      </c>
      <c r="H7" s="11"/>
      <c r="I7" s="11" t="n">
        <v>0</v>
      </c>
      <c r="J7" s="6" t="n">
        <f aca="false">IFERROR(IFERROR(INDEX(Crops!$I$5:$I$40,MATCH($D7,Crops!$A$5:$A$40,0)),INDEX(Goods!$M$5:$M$40,MATCH($D7,Goods!$A$5:$A$40,0)))*$E7,0)+IFERROR(IFERROR(INDEX(Crops!$I$5:$I$40,MATCH($F7,Crops!$A$5:$A$40,0)),INDEX(Goods!$M$5:$M$40,MATCH($F7,Goods!$A$5:$A$40,0)))*$G7,0)+IFERROR(IFERROR(INDEX(Crops!$I$5:$I$40,MATCH($H7,Crops!$A$5:$A$40,0)),INDEX(Goods!$M$5:$M$40,MATCH($H7,Goods!$A$5:$A$40,0)))*$I7,0)</f>
        <v>264</v>
      </c>
      <c r="K7" s="12" t="n">
        <f aca="false">ROUND(J7*IF($B7="train",Globals!$B$11,Globals!$B$9),0)</f>
        <v>422</v>
      </c>
      <c r="L7" s="12" t="n">
        <f aca="false">ROUND(J7*Globals!$B$10,0)</f>
        <v>66</v>
      </c>
      <c r="M7" s="6" t="n">
        <f aca="false">IF($B7="train",2,0)</f>
        <v>0</v>
      </c>
    </row>
    <row r="8" customFormat="false" ht="15" hidden="false" customHeight="false" outlineLevel="0" collapsed="false">
      <c r="A8" s="11" t="s">
        <v>175</v>
      </c>
      <c r="B8" s="11" t="s">
        <v>176</v>
      </c>
      <c r="C8" s="11" t="n">
        <v>8</v>
      </c>
      <c r="D8" s="11" t="s">
        <v>117</v>
      </c>
      <c r="E8" s="11" t="n">
        <v>10</v>
      </c>
      <c r="F8" s="11" t="s">
        <v>120</v>
      </c>
      <c r="G8" s="11" t="n">
        <v>4</v>
      </c>
      <c r="H8" s="11" t="s">
        <v>122</v>
      </c>
      <c r="I8" s="11" t="n">
        <v>2</v>
      </c>
      <c r="J8" s="6" t="n">
        <f aca="false">IFERROR(IFERROR(INDEX(Crops!$I$5:$I$40,MATCH($D8,Crops!$A$5:$A$40,0)),INDEX(Goods!$M$5:$M$40,MATCH($D8,Goods!$A$5:$A$40,0)))*$E8,0)+IFERROR(IFERROR(INDEX(Crops!$I$5:$I$40,MATCH($F8,Crops!$A$5:$A$40,0)),INDEX(Goods!$M$5:$M$40,MATCH($F8,Goods!$A$5:$A$40,0)))*$G8,0)+IFERROR(IFERROR(INDEX(Crops!$I$5:$I$40,MATCH($H8,Crops!$A$5:$A$40,0)),INDEX(Goods!$M$5:$M$40,MATCH($H8,Goods!$A$5:$A$40,0)))*$I8,0)</f>
        <v>2400</v>
      </c>
      <c r="K8" s="12" t="n">
        <f aca="false">ROUND(J8*IF($B8="train",Globals!$B$11,Globals!$B$9),0)</f>
        <v>6000</v>
      </c>
      <c r="L8" s="12" t="n">
        <f aca="false">ROUND(J8*Globals!$B$10,0)</f>
        <v>600</v>
      </c>
      <c r="M8" s="6" t="n">
        <f aca="false">IF($B8="train",2,0)</f>
        <v>2</v>
      </c>
    </row>
    <row r="10" customFormat="false" ht="15" hidden="false" customHeight="false" outlineLevel="0" collapsed="false">
      <c r="A10" s="2" t="s">
        <v>177</v>
      </c>
    </row>
    <row r="11" customFormat="false" ht="15" hidden="false" customHeight="false" outlineLevel="0" collapsed="false">
      <c r="A11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179</v>
      </c>
    </row>
    <row r="4" customFormat="false" ht="30" hidden="false" customHeight="true" outlineLevel="0" collapsed="false">
      <c r="A4" s="5" t="s">
        <v>180</v>
      </c>
      <c r="B4" s="5" t="s">
        <v>181</v>
      </c>
      <c r="C4" s="5" t="s">
        <v>182</v>
      </c>
      <c r="D4" s="5" t="s">
        <v>183</v>
      </c>
      <c r="E4" s="5" t="s">
        <v>131</v>
      </c>
    </row>
    <row r="5" customFormat="false" ht="15" hidden="false" customHeight="false" outlineLevel="0" collapsed="false">
      <c r="A5" s="11" t="s">
        <v>71</v>
      </c>
      <c r="B5" s="11" t="s">
        <v>184</v>
      </c>
      <c r="C5" s="11" t="s">
        <v>185</v>
      </c>
      <c r="D5" s="11" t="s">
        <v>186</v>
      </c>
      <c r="E5" s="2" t="s">
        <v>187</v>
      </c>
    </row>
    <row r="6" customFormat="false" ht="15" hidden="false" customHeight="false" outlineLevel="0" collapsed="false">
      <c r="A6" s="11" t="s">
        <v>71</v>
      </c>
      <c r="B6" s="11" t="s">
        <v>184</v>
      </c>
      <c r="C6" s="11" t="s">
        <v>188</v>
      </c>
      <c r="D6" s="11" t="s">
        <v>189</v>
      </c>
      <c r="E6" s="2" t="s">
        <v>190</v>
      </c>
    </row>
    <row r="7" customFormat="false" ht="15" hidden="false" customHeight="false" outlineLevel="0" collapsed="false">
      <c r="A7" s="11" t="s">
        <v>71</v>
      </c>
      <c r="B7" s="11" t="s">
        <v>184</v>
      </c>
      <c r="C7" s="11" t="s">
        <v>191</v>
      </c>
      <c r="D7" s="11" t="s">
        <v>192</v>
      </c>
      <c r="E7" s="2" t="s">
        <v>193</v>
      </c>
    </row>
    <row r="8" customFormat="false" ht="15" hidden="false" customHeight="false" outlineLevel="0" collapsed="false">
      <c r="A8" s="11" t="s">
        <v>71</v>
      </c>
      <c r="B8" s="11" t="s">
        <v>184</v>
      </c>
      <c r="C8" s="11" t="s">
        <v>194</v>
      </c>
      <c r="D8" s="11" t="s">
        <v>195</v>
      </c>
      <c r="E8" s="2" t="s">
        <v>196</v>
      </c>
    </row>
    <row r="9" customFormat="false" ht="15" hidden="false" customHeight="false" outlineLevel="0" collapsed="false">
      <c r="A9" s="11" t="s">
        <v>71</v>
      </c>
      <c r="B9" s="11" t="s">
        <v>197</v>
      </c>
      <c r="C9" s="11" t="s">
        <v>198</v>
      </c>
      <c r="D9" s="11" t="s">
        <v>186</v>
      </c>
      <c r="E9" s="2" t="s">
        <v>199</v>
      </c>
    </row>
    <row r="10" customFormat="false" ht="15" hidden="false" customHeight="false" outlineLevel="0" collapsed="false">
      <c r="A10" s="11" t="s">
        <v>71</v>
      </c>
      <c r="B10" s="11" t="s">
        <v>197</v>
      </c>
      <c r="C10" s="11" t="s">
        <v>18</v>
      </c>
      <c r="D10" s="11" t="s">
        <v>200</v>
      </c>
      <c r="E10" s="2" t="s">
        <v>201</v>
      </c>
    </row>
    <row r="11" customFormat="false" ht="15" hidden="false" customHeight="false" outlineLevel="0" collapsed="false">
      <c r="A11" s="11" t="s">
        <v>71</v>
      </c>
      <c r="B11" s="11" t="s">
        <v>197</v>
      </c>
      <c r="C11" s="11" t="s">
        <v>202</v>
      </c>
      <c r="D11" s="11" t="s">
        <v>203</v>
      </c>
      <c r="E11" s="2" t="s">
        <v>204</v>
      </c>
    </row>
    <row r="12" customFormat="false" ht="15" hidden="false" customHeight="false" outlineLevel="0" collapsed="false">
      <c r="A12" s="11" t="s">
        <v>71</v>
      </c>
      <c r="B12" s="11" t="s">
        <v>197</v>
      </c>
      <c r="C12" s="11" t="s">
        <v>205</v>
      </c>
      <c r="D12" s="11" t="s">
        <v>203</v>
      </c>
      <c r="E12" s="2" t="s">
        <v>206</v>
      </c>
    </row>
    <row r="13" customFormat="false" ht="15" hidden="false" customHeight="false" outlineLevel="0" collapsed="false">
      <c r="A13" s="11" t="s">
        <v>207</v>
      </c>
      <c r="B13" s="11" t="s">
        <v>184</v>
      </c>
      <c r="C13" s="11" t="s">
        <v>208</v>
      </c>
      <c r="D13" s="11" t="s">
        <v>209</v>
      </c>
      <c r="E13" s="2" t="s">
        <v>210</v>
      </c>
    </row>
    <row r="14" customFormat="false" ht="15" hidden="false" customHeight="false" outlineLevel="0" collapsed="false">
      <c r="A14" s="11" t="s">
        <v>207</v>
      </c>
      <c r="B14" s="11" t="s">
        <v>184</v>
      </c>
      <c r="C14" s="11" t="s">
        <v>211</v>
      </c>
      <c r="D14" s="11" t="s">
        <v>212</v>
      </c>
      <c r="E14" s="2" t="s">
        <v>213</v>
      </c>
    </row>
    <row r="15" customFormat="false" ht="15" hidden="false" customHeight="false" outlineLevel="0" collapsed="false">
      <c r="A15" s="11" t="s">
        <v>207</v>
      </c>
      <c r="B15" s="11" t="s">
        <v>184</v>
      </c>
      <c r="C15" s="11" t="s">
        <v>214</v>
      </c>
      <c r="D15" s="11" t="s">
        <v>215</v>
      </c>
      <c r="E15" s="2" t="s">
        <v>216</v>
      </c>
    </row>
    <row r="16" customFormat="false" ht="15" hidden="false" customHeight="false" outlineLevel="0" collapsed="false">
      <c r="A16" s="11" t="s">
        <v>207</v>
      </c>
      <c r="B16" s="11" t="s">
        <v>197</v>
      </c>
      <c r="C16" s="11" t="s">
        <v>217</v>
      </c>
      <c r="D16" s="11" t="s">
        <v>203</v>
      </c>
      <c r="E16" s="2" t="s">
        <v>218</v>
      </c>
    </row>
    <row r="17" customFormat="false" ht="15" hidden="false" customHeight="false" outlineLevel="0" collapsed="false">
      <c r="A17" s="11" t="s">
        <v>207</v>
      </c>
      <c r="B17" s="11" t="s">
        <v>197</v>
      </c>
      <c r="C17" s="11" t="s">
        <v>219</v>
      </c>
      <c r="D17" s="11" t="s">
        <v>203</v>
      </c>
      <c r="E17" s="2" t="s">
        <v>220</v>
      </c>
    </row>
    <row r="18" customFormat="false" ht="15" hidden="false" customHeight="false" outlineLevel="0" collapsed="false">
      <c r="A18" s="11" t="s">
        <v>207</v>
      </c>
      <c r="B18" s="11" t="s">
        <v>197</v>
      </c>
      <c r="C18" s="11" t="s">
        <v>221</v>
      </c>
      <c r="D18" s="11" t="s">
        <v>203</v>
      </c>
      <c r="E18" s="2" t="s">
        <v>220</v>
      </c>
    </row>
    <row r="20" customFormat="false" ht="15" hidden="false" customHeight="false" outlineLevel="0" collapsed="false">
      <c r="A20" s="2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2026-07-20T20:55:56Z</dcterms:created>
  <dc:creator>openpyxl</dc:creator>
  <dc:description/>
  <dc:language>en-US</dc:language>
  <cp:lastModifiedBy/>
  <dcterms:modified xsi:type="dcterms:W3CDTF">2026-07-20T20:55:56Z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